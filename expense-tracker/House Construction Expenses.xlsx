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\Documents\"/>
    </mc:Choice>
  </mc:AlternateContent>
  <xr:revisionPtr revIDLastSave="0" documentId="13_ncr:1_{C843AC1D-608C-4F08-86EE-0743A4100F5E}" xr6:coauthVersionLast="47" xr6:coauthVersionMax="47" xr10:uidLastSave="{00000000-0000-0000-0000-000000000000}"/>
  <bookViews>
    <workbookView xWindow="-108" yWindow="-108" windowWidth="23256" windowHeight="12456" xr2:uid="{541F9BF2-E02F-4044-A5C2-38F41E8D9338}"/>
  </bookViews>
  <sheets>
    <sheet name="Dashboard" sheetId="3" r:id="rId1"/>
    <sheet name="September 2026" sheetId="1" r:id="rId2"/>
    <sheet name="October 2026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B11" i="3" s="1"/>
  <c r="C73" i="1"/>
  <c r="B12" i="3" l="1"/>
</calcChain>
</file>

<file path=xl/sharedStrings.xml><?xml version="1.0" encoding="utf-8"?>
<sst xmlns="http://schemas.openxmlformats.org/spreadsheetml/2006/main" count="239" uniqueCount="136">
  <si>
    <t>Date</t>
  </si>
  <si>
    <t>Category</t>
  </si>
  <si>
    <t>Sub Category</t>
  </si>
  <si>
    <t>Amount</t>
  </si>
  <si>
    <t>Notes</t>
  </si>
  <si>
    <t>Total Budget</t>
  </si>
  <si>
    <t>September Expense</t>
  </si>
  <si>
    <t>October Expense</t>
  </si>
  <si>
    <t>Plan Design</t>
  </si>
  <si>
    <t>2D plan</t>
  </si>
  <si>
    <t>Sand Work</t>
  </si>
  <si>
    <t>Total Amount 30,000</t>
  </si>
  <si>
    <t>JCB</t>
  </si>
  <si>
    <t>land Cleanup</t>
  </si>
  <si>
    <t>1 hour</t>
  </si>
  <si>
    <t>Pooja</t>
  </si>
  <si>
    <t>land pooja saamaan</t>
  </si>
  <si>
    <t>NA</t>
  </si>
  <si>
    <t>Fruits</t>
  </si>
  <si>
    <t>Flowers</t>
  </si>
  <si>
    <t>Sweet Box</t>
  </si>
  <si>
    <t>250 grams</t>
  </si>
  <si>
    <t>Panthulu</t>
  </si>
  <si>
    <t>Bhoomi Pooja</t>
  </si>
  <si>
    <t>Coconut</t>
  </si>
  <si>
    <t>6 Coconuts</t>
  </si>
  <si>
    <t>Katnam</t>
  </si>
  <si>
    <t>Mestri</t>
  </si>
  <si>
    <t>Mestri, Muggu</t>
  </si>
  <si>
    <t>Bore</t>
  </si>
  <si>
    <t>BoreWell</t>
  </si>
  <si>
    <t>Advance</t>
  </si>
  <si>
    <t>Batha</t>
  </si>
  <si>
    <t>Bore Operator</t>
  </si>
  <si>
    <t>Bore Worker</t>
  </si>
  <si>
    <t>Remaining Amount</t>
  </si>
  <si>
    <t>2 transaction (45,000 &amp; 10,000)</t>
  </si>
  <si>
    <t>Labour</t>
  </si>
  <si>
    <t xml:space="preserve">Mestri </t>
  </si>
  <si>
    <t>350 Per Sqft</t>
  </si>
  <si>
    <t>Material</t>
  </si>
  <si>
    <t>Small Gravel</t>
  </si>
  <si>
    <t>5 tons - 700 per ton</t>
  </si>
  <si>
    <t>Dust</t>
  </si>
  <si>
    <t>1 tractor</t>
  </si>
  <si>
    <t>Large Gravel</t>
  </si>
  <si>
    <t>Total Given - 50,000</t>
  </si>
  <si>
    <t>Pump</t>
  </si>
  <si>
    <t>CRI Bore Pump advance</t>
  </si>
  <si>
    <t>Weighing</t>
  </si>
  <si>
    <t>Sand</t>
  </si>
  <si>
    <t>Sand Worker</t>
  </si>
  <si>
    <t>Steel</t>
  </si>
  <si>
    <t>16mm(30), 12mm(30), 8mm(45), 10mmm(20), Binding 25kg, 6 gampalu, 2 paaralu</t>
  </si>
  <si>
    <t>Cover</t>
  </si>
  <si>
    <t>8X24</t>
  </si>
  <si>
    <t>Electric</t>
  </si>
  <si>
    <t>Service Wire</t>
  </si>
  <si>
    <t>4sqmm(30m) - 40 per metre</t>
  </si>
  <si>
    <t>Water Pipe</t>
  </si>
  <si>
    <t>0.5 inch</t>
  </si>
  <si>
    <t>Pump worker</t>
  </si>
  <si>
    <t>Steel &amp; Cement</t>
  </si>
  <si>
    <t>Transport</t>
  </si>
  <si>
    <t>Centring Worker</t>
  </si>
  <si>
    <t>35.24 tons, 1500 per ton</t>
  </si>
  <si>
    <t>Ultra Tech Cement</t>
  </si>
  <si>
    <t>100 Bags - 300 per bag</t>
  </si>
  <si>
    <t>100 Bags Advance Given</t>
  </si>
  <si>
    <t>Miller</t>
  </si>
  <si>
    <t>from 40,000 Cash</t>
  </si>
  <si>
    <t>Miller Worker</t>
  </si>
  <si>
    <t>Nagarjuna Cement</t>
  </si>
  <si>
    <t>30 Bags - 250 Each</t>
  </si>
  <si>
    <t>0.5inch replaced with 1 inch</t>
  </si>
  <si>
    <t>Bend Pipe</t>
  </si>
  <si>
    <t>1inch bend pipe</t>
  </si>
  <si>
    <t>Misceallanous</t>
  </si>
  <si>
    <t>Thumpsup</t>
  </si>
  <si>
    <t>Miller Workers</t>
  </si>
  <si>
    <t>5 tons - 650 per ton</t>
  </si>
  <si>
    <t>4.6 tons - 650 per ton</t>
  </si>
  <si>
    <t>Oil</t>
  </si>
  <si>
    <t>2.5 litres - 50/litre</t>
  </si>
  <si>
    <t>Socket &amp; Switches</t>
  </si>
  <si>
    <t>6 sockets, 6 switches</t>
  </si>
  <si>
    <t>Copper Wire</t>
  </si>
  <si>
    <t>20 Metres - 56 per metre</t>
  </si>
  <si>
    <t>Tape</t>
  </si>
  <si>
    <t>Total Given - 51,000</t>
  </si>
  <si>
    <t>Total Given - 66,000</t>
  </si>
  <si>
    <t>Total Given - 96,000</t>
  </si>
  <si>
    <t>Clamps</t>
  </si>
  <si>
    <t>2 pieces</t>
  </si>
  <si>
    <t>Wage</t>
  </si>
  <si>
    <t xml:space="preserve">2 labours for Stones Collecting </t>
  </si>
  <si>
    <t>Bendedu</t>
  </si>
  <si>
    <t>6 trip - 1800 per trip</t>
  </si>
  <si>
    <t>25.8 tons - 700 per ton including transport</t>
  </si>
  <si>
    <t>Total Given - 21,000</t>
  </si>
  <si>
    <t>Total given - 11,000</t>
  </si>
  <si>
    <t>Rings</t>
  </si>
  <si>
    <t>3ft(13) - 330 Each, 4ft(10) - 410 Each -  remaining 100 for labour</t>
  </si>
  <si>
    <t>1 trip</t>
  </si>
  <si>
    <t>Mesh Filter (Large)</t>
  </si>
  <si>
    <t>Dr Fixit Water Proof</t>
  </si>
  <si>
    <t>301 Quality</t>
  </si>
  <si>
    <t>Underground Pipe</t>
  </si>
  <si>
    <t>20 Metres - 35 Per Metre</t>
  </si>
  <si>
    <t>Total</t>
  </si>
  <si>
    <t>Granite</t>
  </si>
  <si>
    <t>1200( 4 trips) - 15/Granite</t>
  </si>
  <si>
    <t>Filling Sand</t>
  </si>
  <si>
    <t>56 trips - 440 per trip</t>
  </si>
  <si>
    <t>Tractor &amp; Jcb driver</t>
  </si>
  <si>
    <t>200 Each</t>
  </si>
  <si>
    <t>Land Levelling</t>
  </si>
  <si>
    <t>1000 Per hour</t>
  </si>
  <si>
    <t>November Expense</t>
  </si>
  <si>
    <t>December Expense</t>
  </si>
  <si>
    <t>January Expense</t>
  </si>
  <si>
    <t>February Expense</t>
  </si>
  <si>
    <t>March Expense</t>
  </si>
  <si>
    <t>April Expense</t>
  </si>
  <si>
    <t>Total Expenses Till Now</t>
  </si>
  <si>
    <t>26000 cleared till now</t>
  </si>
  <si>
    <t>Water Tank</t>
  </si>
  <si>
    <t>Water</t>
  </si>
  <si>
    <t>cash given to mom</t>
  </si>
  <si>
    <t>18ft sticks</t>
  </si>
  <si>
    <t>each ~220</t>
  </si>
  <si>
    <t>Tadka</t>
  </si>
  <si>
    <t>5 - each 250</t>
  </si>
  <si>
    <t>Sticks + Tadka</t>
  </si>
  <si>
    <t>Account Balance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</si>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</sst>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A]#,##0"/>
    <numFmt numFmtId="165" formatCode="[$-24009]mmmm\ dd\,\ yyyy;@"/>
    <numFmt numFmtId="166" formatCode="[$₹-44A]#,##0;[Red]\-[$₹-44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166" fontId="0" fillId="0" borderId="1" xfId="0" applyNumberFormat="1" applyBorder="1"/>
    <xf numFmtId="166" fontId="0" fillId="0" borderId="0" xfId="0" applyNumberFormat="1"/>
    <xf numFmtId="165" fontId="1" fillId="3" borderId="1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164" fontId="0" fillId="5" borderId="1" xfId="0" applyNumberFormat="1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164" fontId="0" fillId="6" borderId="2" xfId="0" applyNumberFormat="1" applyFill="1" applyBorder="1" applyAlignment="1">
      <alignment vertical="center"/>
    </xf>
    <xf numFmtId="164" fontId="0" fillId="4" borderId="1" xfId="0" applyNumberFormat="1" applyFill="1" applyBorder="1" applyAlignment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4A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24009]mmmm\ d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₹-44A]#,##0"/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24009]mmmm\ dd\,\ yyyy;@"/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249DF-14B7-424E-A211-259B4245FE61}" name="september_Expenses" displayName="september_Expenses" ref="A1:E71" totalsRowShown="0" dataDxfId="10">
  <autoFilter ref="A1:E71" xr:uid="{F88249DF-14B7-424E-A211-259B4245FE61}"/>
  <tableColumns count="5">
    <tableColumn id="1" xr3:uid="{CAE0358A-808B-4E25-B109-350B2A541DAE}" name="Date" dataDxfId="9"/>
    <tableColumn id="2" xr3:uid="{F22BBDEA-4A4A-4C76-8FDB-73ED7D3E89CB}" name="Category" dataDxfId="8"/>
    <tableColumn id="3" xr3:uid="{A4E67A8D-19F6-4064-8B8C-FBBB76101E82}" name="Sub Category" dataDxfId="7"/>
    <tableColumn id="4" xr3:uid="{E9C372AE-811A-4CD0-A9CF-8CEC63A96081}" name="Amount" dataDxfId="6"/>
    <tableColumn id="5" xr3:uid="{3091FEFE-0769-4A44-9A1C-3E8F898EC990}" name="Not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6160B9-F3F4-4A31-87A2-F485590D0DF2}" name="October_Expenses" displayName="October_Expenses" ref="A1:E9" totalsRowShown="0">
  <autoFilter ref="A1:E9" xr:uid="{196160B9-F3F4-4A31-87A2-F485590D0DF2}"/>
  <tableColumns count="5">
    <tableColumn id="1" xr3:uid="{3E383C8E-ED0A-49DD-B93C-79A0F5E6AE19}" name="Date" dataDxfId="4"/>
    <tableColumn id="2" xr3:uid="{695CBE78-1DAB-4971-B307-EF6B05CD0ED5}" name="Category" dataDxfId="3"/>
    <tableColumn id="3" xr3:uid="{7BA8317F-934F-4371-8D73-2AE106F66C84}" name="Sub Category" dataDxfId="2"/>
    <tableColumn id="4" xr3:uid="{48EBEA97-F335-48A3-B31A-D524A98E8BF3}" name="Amount" dataDxfId="1"/>
    <tableColumn id="5" xr3:uid="{BBD2562F-0C39-4D23-A134-CE5D80E61E2E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79AB-4658-4898-AF0A-8B6C3497B7C0}">
  <dimension ref="A1:B16"/>
  <sheetViews>
    <sheetView tabSelected="1" workbookViewId="0">
      <selection activeCell="B4" sqref="B4"/>
    </sheetView>
  </sheetViews>
  <sheetFormatPr defaultRowHeight="14.4" x14ac:dyDescent="0.3"/>
  <cols>
    <col min="1" max="1" width="20.6640625" bestFit="1" customWidth="1"/>
    <col min="2" max="2" width="10.88671875" style="16" bestFit="1" customWidth="1"/>
  </cols>
  <sheetData>
    <row r="1" spans="1:2" x14ac:dyDescent="0.3">
      <c r="A1" s="2" t="s">
        <v>5</v>
      </c>
      <c r="B1" s="15">
        <v>1959628</v>
      </c>
    </row>
    <row r="2" spans="1:2" x14ac:dyDescent="0.3">
      <c r="A2" s="2" t="s">
        <v>6</v>
      </c>
      <c r="B2" s="26">
        <f>SUM(september_Expenses[Amount])</f>
        <v>601695</v>
      </c>
    </row>
    <row r="3" spans="1:2" x14ac:dyDescent="0.3">
      <c r="A3" s="2" t="s">
        <v>7</v>
      </c>
      <c r="B3" s="15">
        <v>87140</v>
      </c>
    </row>
    <row r="4" spans="1:2" x14ac:dyDescent="0.3">
      <c r="A4" s="2" t="s">
        <v>118</v>
      </c>
      <c r="B4" s="15"/>
    </row>
    <row r="5" spans="1:2" x14ac:dyDescent="0.3">
      <c r="A5" s="2" t="s">
        <v>119</v>
      </c>
      <c r="B5" s="15"/>
    </row>
    <row r="6" spans="1:2" x14ac:dyDescent="0.3">
      <c r="A6" s="2" t="s">
        <v>120</v>
      </c>
      <c r="B6" s="15"/>
    </row>
    <row r="7" spans="1:2" x14ac:dyDescent="0.3">
      <c r="A7" s="2" t="s">
        <v>121</v>
      </c>
      <c r="B7" s="15"/>
    </row>
    <row r="8" spans="1:2" x14ac:dyDescent="0.3">
      <c r="A8" s="2" t="s">
        <v>122</v>
      </c>
      <c r="B8" s="15"/>
    </row>
    <row r="9" spans="1:2" x14ac:dyDescent="0.3">
      <c r="A9" s="2" t="s">
        <v>123</v>
      </c>
      <c r="B9" s="15"/>
    </row>
    <row r="11" spans="1:2" x14ac:dyDescent="0.3">
      <c r="A11" s="2" t="s">
        <v>124</v>
      </c>
      <c r="B11" s="15">
        <f>SUM(B2:B9)</f>
        <v>688835</v>
      </c>
    </row>
    <row r="12" spans="1:2" x14ac:dyDescent="0.3">
      <c r="A12" s="2" t="s">
        <v>35</v>
      </c>
      <c r="B12" s="15">
        <f xml:space="preserve"> B1 - SUM(B2:B9)</f>
        <v>1270793</v>
      </c>
    </row>
    <row r="14" spans="1:2" x14ac:dyDescent="0.3">
      <c r="A14" s="2" t="s">
        <v>134</v>
      </c>
      <c r="B14" s="15">
        <v>1246385</v>
      </c>
    </row>
    <row r="15" spans="1:2" x14ac:dyDescent="0.3">
      <c r="A15" s="2" t="s">
        <v>135</v>
      </c>
      <c r="B15" s="15">
        <v>24100</v>
      </c>
    </row>
    <row r="16" spans="1:2" x14ac:dyDescent="0.3">
      <c r="A16" s="2" t="s">
        <v>109</v>
      </c>
      <c r="B16" s="15">
        <v>1270485</v>
      </c>
    </row>
  </sheetData>
  <pageMargins left="0.7" right="0.7" top="0.75" bottom="0.75" header="0.3" footer="0.3"/>
  <ignoredErrors>
    <ignoredError sqref="B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0592-436B-41F0-9141-182711B3EB4D}">
  <dimension ref="A1:E73"/>
  <sheetViews>
    <sheetView topLeftCell="A56" workbookViewId="0">
      <selection activeCell="C73" sqref="C73:D73"/>
    </sheetView>
  </sheetViews>
  <sheetFormatPr defaultRowHeight="14.4" x14ac:dyDescent="0.3"/>
  <cols>
    <col min="1" max="1" width="17.33203125" style="5" bestFit="1" customWidth="1"/>
    <col min="2" max="2" width="13.44140625" bestFit="1" customWidth="1"/>
    <col min="3" max="3" width="17.5546875" bestFit="1" customWidth="1"/>
    <col min="4" max="4" width="9.77734375" style="4" customWidth="1"/>
    <col min="5" max="5" width="26.77734375" bestFit="1" customWidth="1"/>
  </cols>
  <sheetData>
    <row r="1" spans="1:5" x14ac:dyDescent="0.3">
      <c r="A1" s="5" t="s">
        <v>0</v>
      </c>
      <c r="B1" t="s">
        <v>1</v>
      </c>
      <c r="C1" t="s">
        <v>2</v>
      </c>
      <c r="D1" s="4" t="s">
        <v>3</v>
      </c>
      <c r="E1" t="s">
        <v>4</v>
      </c>
    </row>
    <row r="2" spans="1:5" x14ac:dyDescent="0.3">
      <c r="A2" s="9">
        <v>46270</v>
      </c>
      <c r="B2" s="10" t="s">
        <v>8</v>
      </c>
      <c r="C2" s="10" t="s">
        <v>9</v>
      </c>
      <c r="D2" s="11">
        <v>1500</v>
      </c>
      <c r="E2" s="7"/>
    </row>
    <row r="3" spans="1:5" x14ac:dyDescent="0.3">
      <c r="A3" s="9">
        <v>46271</v>
      </c>
      <c r="B3" s="10" t="s">
        <v>10</v>
      </c>
      <c r="C3" s="10" t="s">
        <v>10</v>
      </c>
      <c r="D3" s="11">
        <v>1000</v>
      </c>
      <c r="E3" s="7" t="s">
        <v>11</v>
      </c>
    </row>
    <row r="4" spans="1:5" x14ac:dyDescent="0.3">
      <c r="A4" s="9">
        <v>46271</v>
      </c>
      <c r="B4" s="10" t="s">
        <v>12</v>
      </c>
      <c r="C4" s="10" t="s">
        <v>13</v>
      </c>
      <c r="D4" s="11">
        <v>1200</v>
      </c>
      <c r="E4" s="7" t="s">
        <v>14</v>
      </c>
    </row>
    <row r="5" spans="1:5" x14ac:dyDescent="0.3">
      <c r="A5" s="9">
        <v>46271</v>
      </c>
      <c r="B5" s="10" t="s">
        <v>15</v>
      </c>
      <c r="C5" s="10" t="s">
        <v>16</v>
      </c>
      <c r="D5" s="11">
        <v>1545</v>
      </c>
      <c r="E5" s="7" t="s">
        <v>17</v>
      </c>
    </row>
    <row r="6" spans="1:5" x14ac:dyDescent="0.3">
      <c r="A6" s="9">
        <v>46271</v>
      </c>
      <c r="B6" s="10" t="s">
        <v>15</v>
      </c>
      <c r="C6" s="10" t="s">
        <v>18</v>
      </c>
      <c r="D6" s="23">
        <v>250</v>
      </c>
      <c r="E6" s="7"/>
    </row>
    <row r="7" spans="1:5" x14ac:dyDescent="0.3">
      <c r="A7" s="9">
        <v>46271</v>
      </c>
      <c r="B7" s="10" t="s">
        <v>15</v>
      </c>
      <c r="C7" s="10" t="s">
        <v>19</v>
      </c>
      <c r="D7" s="23">
        <v>100</v>
      </c>
      <c r="E7" s="7"/>
    </row>
    <row r="8" spans="1:5" x14ac:dyDescent="0.3">
      <c r="A8" s="9">
        <v>46271</v>
      </c>
      <c r="B8" s="10" t="s">
        <v>15</v>
      </c>
      <c r="C8" s="10" t="s">
        <v>20</v>
      </c>
      <c r="D8" s="11">
        <v>140</v>
      </c>
      <c r="E8" s="7" t="s">
        <v>21</v>
      </c>
    </row>
    <row r="9" spans="1:5" x14ac:dyDescent="0.3">
      <c r="A9" s="12">
        <v>46272</v>
      </c>
      <c r="B9" s="13" t="s">
        <v>15</v>
      </c>
      <c r="C9" s="13" t="s">
        <v>22</v>
      </c>
      <c r="D9" s="14">
        <v>3000</v>
      </c>
      <c r="E9" s="8" t="s">
        <v>23</v>
      </c>
    </row>
    <row r="10" spans="1:5" x14ac:dyDescent="0.3">
      <c r="A10" s="9">
        <v>46272</v>
      </c>
      <c r="B10" s="10" t="s">
        <v>15</v>
      </c>
      <c r="C10" s="10" t="s">
        <v>24</v>
      </c>
      <c r="D10" s="11">
        <v>240</v>
      </c>
      <c r="E10" s="7" t="s">
        <v>25</v>
      </c>
    </row>
    <row r="11" spans="1:5" x14ac:dyDescent="0.3">
      <c r="A11" s="9">
        <v>46272</v>
      </c>
      <c r="B11" s="10" t="s">
        <v>26</v>
      </c>
      <c r="C11" s="10" t="s">
        <v>28</v>
      </c>
      <c r="D11" s="24">
        <v>1500</v>
      </c>
      <c r="E11" s="7" t="s">
        <v>128</v>
      </c>
    </row>
    <row r="12" spans="1:5" x14ac:dyDescent="0.3">
      <c r="A12" s="9">
        <v>46272</v>
      </c>
      <c r="B12" s="10" t="s">
        <v>26</v>
      </c>
      <c r="C12" s="10" t="s">
        <v>10</v>
      </c>
      <c r="D12" s="24">
        <v>1000</v>
      </c>
      <c r="E12" s="7" t="s">
        <v>128</v>
      </c>
    </row>
    <row r="13" spans="1:5" x14ac:dyDescent="0.3">
      <c r="A13" s="12">
        <v>46272</v>
      </c>
      <c r="B13" s="13" t="s">
        <v>26</v>
      </c>
      <c r="C13" s="13" t="s">
        <v>29</v>
      </c>
      <c r="D13" s="25">
        <v>500</v>
      </c>
      <c r="E13" s="8" t="s">
        <v>128</v>
      </c>
    </row>
    <row r="14" spans="1:5" x14ac:dyDescent="0.3">
      <c r="A14" s="12">
        <v>46272</v>
      </c>
      <c r="B14" s="13" t="s">
        <v>30</v>
      </c>
      <c r="C14" s="13" t="s">
        <v>31</v>
      </c>
      <c r="D14" s="14">
        <v>50000</v>
      </c>
      <c r="E14" s="8"/>
    </row>
    <row r="15" spans="1:5" x14ac:dyDescent="0.3">
      <c r="A15" s="12">
        <v>46272</v>
      </c>
      <c r="B15" s="13" t="s">
        <v>32</v>
      </c>
      <c r="C15" s="13" t="s">
        <v>33</v>
      </c>
      <c r="D15" s="14">
        <v>1000</v>
      </c>
      <c r="E15" s="8"/>
    </row>
    <row r="16" spans="1:5" x14ac:dyDescent="0.3">
      <c r="A16" s="12">
        <v>46272</v>
      </c>
      <c r="B16" s="13" t="s">
        <v>32</v>
      </c>
      <c r="C16" s="13" t="s">
        <v>34</v>
      </c>
      <c r="D16" s="14">
        <v>500</v>
      </c>
      <c r="E16" s="8"/>
    </row>
    <row r="17" spans="1:5" x14ac:dyDescent="0.3">
      <c r="A17" s="12">
        <v>46273</v>
      </c>
      <c r="B17" s="13" t="s">
        <v>30</v>
      </c>
      <c r="C17" s="13" t="s">
        <v>35</v>
      </c>
      <c r="D17" s="14">
        <v>55000</v>
      </c>
      <c r="E17" s="8" t="s">
        <v>36</v>
      </c>
    </row>
    <row r="18" spans="1:5" x14ac:dyDescent="0.3">
      <c r="A18" s="9">
        <v>46273</v>
      </c>
      <c r="B18" s="10" t="s">
        <v>10</v>
      </c>
      <c r="C18" s="10" t="s">
        <v>10</v>
      </c>
      <c r="D18" s="11">
        <v>10000</v>
      </c>
      <c r="E18" s="7" t="s">
        <v>100</v>
      </c>
    </row>
    <row r="19" spans="1:5" x14ac:dyDescent="0.3">
      <c r="A19" s="12">
        <v>46273</v>
      </c>
      <c r="B19" s="13" t="s">
        <v>37</v>
      </c>
      <c r="C19" s="13" t="s">
        <v>38</v>
      </c>
      <c r="D19" s="14">
        <v>30000</v>
      </c>
      <c r="E19" s="8" t="s">
        <v>39</v>
      </c>
    </row>
    <row r="20" spans="1:5" x14ac:dyDescent="0.3">
      <c r="A20" s="12">
        <v>46274</v>
      </c>
      <c r="B20" s="13" t="s">
        <v>40</v>
      </c>
      <c r="C20" s="13" t="s">
        <v>41</v>
      </c>
      <c r="D20" s="14">
        <v>3500</v>
      </c>
      <c r="E20" s="8" t="s">
        <v>42</v>
      </c>
    </row>
    <row r="21" spans="1:5" x14ac:dyDescent="0.3">
      <c r="A21" s="9">
        <v>46274</v>
      </c>
      <c r="B21" s="10" t="s">
        <v>40</v>
      </c>
      <c r="C21" s="10" t="s">
        <v>43</v>
      </c>
      <c r="D21" s="11">
        <v>3500</v>
      </c>
      <c r="E21" s="7" t="s">
        <v>44</v>
      </c>
    </row>
    <row r="22" spans="1:5" x14ac:dyDescent="0.3">
      <c r="A22" s="12">
        <v>46274</v>
      </c>
      <c r="B22" s="13" t="s">
        <v>40</v>
      </c>
      <c r="C22" s="13" t="s">
        <v>45</v>
      </c>
      <c r="D22" s="14">
        <v>3000</v>
      </c>
      <c r="E22" s="8" t="s">
        <v>44</v>
      </c>
    </row>
    <row r="23" spans="1:5" x14ac:dyDescent="0.3">
      <c r="A23" s="12">
        <v>46274</v>
      </c>
      <c r="B23" s="13" t="s">
        <v>37</v>
      </c>
      <c r="C23" s="13" t="s">
        <v>27</v>
      </c>
      <c r="D23" s="14">
        <v>20000</v>
      </c>
      <c r="E23" s="8" t="s">
        <v>46</v>
      </c>
    </row>
    <row r="24" spans="1:5" x14ac:dyDescent="0.3">
      <c r="A24" s="12">
        <v>46275</v>
      </c>
      <c r="B24" s="13" t="s">
        <v>30</v>
      </c>
      <c r="C24" s="13" t="s">
        <v>47</v>
      </c>
      <c r="D24" s="14">
        <v>50000</v>
      </c>
      <c r="E24" s="8" t="s">
        <v>48</v>
      </c>
    </row>
    <row r="25" spans="1:5" x14ac:dyDescent="0.3">
      <c r="A25" s="9">
        <v>46275</v>
      </c>
      <c r="B25" s="10" t="s">
        <v>49</v>
      </c>
      <c r="C25" s="10" t="s">
        <v>50</v>
      </c>
      <c r="D25" s="11">
        <v>300</v>
      </c>
      <c r="E25" s="7"/>
    </row>
    <row r="26" spans="1:5" x14ac:dyDescent="0.3">
      <c r="A26" s="9">
        <v>46275</v>
      </c>
      <c r="B26" s="10" t="s">
        <v>32</v>
      </c>
      <c r="C26" s="10" t="s">
        <v>51</v>
      </c>
      <c r="D26" s="23">
        <v>300</v>
      </c>
      <c r="E26" s="7"/>
    </row>
    <row r="27" spans="1:5" ht="43.2" x14ac:dyDescent="0.3">
      <c r="A27" s="9">
        <v>46275</v>
      </c>
      <c r="B27" s="10" t="s">
        <v>40</v>
      </c>
      <c r="C27" s="10" t="s">
        <v>52</v>
      </c>
      <c r="D27" s="11">
        <v>88500</v>
      </c>
      <c r="E27" s="7" t="s">
        <v>53</v>
      </c>
    </row>
    <row r="28" spans="1:5" x14ac:dyDescent="0.3">
      <c r="A28" s="9">
        <v>46275</v>
      </c>
      <c r="B28" s="10" t="s">
        <v>40</v>
      </c>
      <c r="C28" s="10" t="s">
        <v>66</v>
      </c>
      <c r="D28" s="11">
        <v>30000</v>
      </c>
      <c r="E28" s="7" t="s">
        <v>67</v>
      </c>
    </row>
    <row r="29" spans="1:5" x14ac:dyDescent="0.3">
      <c r="A29" s="9">
        <v>46275</v>
      </c>
      <c r="B29" s="10" t="s">
        <v>40</v>
      </c>
      <c r="C29" s="10" t="s">
        <v>66</v>
      </c>
      <c r="D29" s="11">
        <v>30000</v>
      </c>
      <c r="E29" s="7" t="s">
        <v>68</v>
      </c>
    </row>
    <row r="30" spans="1:5" x14ac:dyDescent="0.3">
      <c r="A30" s="9">
        <v>46275</v>
      </c>
      <c r="B30" s="10" t="s">
        <v>40</v>
      </c>
      <c r="C30" s="10" t="s">
        <v>54</v>
      </c>
      <c r="D30" s="11">
        <v>1000</v>
      </c>
      <c r="E30" s="7" t="s">
        <v>55</v>
      </c>
    </row>
    <row r="31" spans="1:5" x14ac:dyDescent="0.3">
      <c r="A31" s="9">
        <v>46275</v>
      </c>
      <c r="B31" s="10" t="s">
        <v>30</v>
      </c>
      <c r="C31" s="10" t="s">
        <v>57</v>
      </c>
      <c r="D31" s="11">
        <v>1200</v>
      </c>
      <c r="E31" s="7" t="s">
        <v>58</v>
      </c>
    </row>
    <row r="32" spans="1:5" x14ac:dyDescent="0.3">
      <c r="A32" s="9">
        <v>46275</v>
      </c>
      <c r="B32" s="10" t="s">
        <v>30</v>
      </c>
      <c r="C32" s="10" t="s">
        <v>59</v>
      </c>
      <c r="D32" s="11">
        <v>700</v>
      </c>
      <c r="E32" s="7" t="s">
        <v>60</v>
      </c>
    </row>
    <row r="33" spans="1:5" x14ac:dyDescent="0.3">
      <c r="A33" s="9">
        <v>46275</v>
      </c>
      <c r="B33" s="10" t="s">
        <v>32</v>
      </c>
      <c r="C33" s="10" t="s">
        <v>61</v>
      </c>
      <c r="D33" s="23">
        <v>500</v>
      </c>
      <c r="E33" s="7"/>
    </row>
    <row r="34" spans="1:5" x14ac:dyDescent="0.3">
      <c r="A34" s="9">
        <v>46275</v>
      </c>
      <c r="B34" s="10" t="s">
        <v>32</v>
      </c>
      <c r="C34" s="10" t="s">
        <v>62</v>
      </c>
      <c r="D34" s="23">
        <v>200</v>
      </c>
      <c r="E34" s="7"/>
    </row>
    <row r="35" spans="1:5" x14ac:dyDescent="0.3">
      <c r="A35" s="9">
        <v>46275</v>
      </c>
      <c r="B35" s="10" t="s">
        <v>63</v>
      </c>
      <c r="C35" s="10" t="s">
        <v>41</v>
      </c>
      <c r="D35" s="11">
        <v>900</v>
      </c>
      <c r="E35" s="7"/>
    </row>
    <row r="36" spans="1:5" x14ac:dyDescent="0.3">
      <c r="A36" s="12">
        <v>46275</v>
      </c>
      <c r="B36" s="13" t="s">
        <v>63</v>
      </c>
      <c r="C36" s="13" t="s">
        <v>45</v>
      </c>
      <c r="D36" s="14">
        <v>800</v>
      </c>
      <c r="E36" s="8"/>
    </row>
    <row r="37" spans="1:5" x14ac:dyDescent="0.3">
      <c r="A37" s="12">
        <v>46275</v>
      </c>
      <c r="B37" s="13" t="s">
        <v>63</v>
      </c>
      <c r="C37" s="13" t="s">
        <v>43</v>
      </c>
      <c r="D37" s="14">
        <v>800</v>
      </c>
      <c r="E37" s="8"/>
    </row>
    <row r="38" spans="1:5" x14ac:dyDescent="0.3">
      <c r="A38" s="12">
        <v>46277</v>
      </c>
      <c r="B38" s="13" t="s">
        <v>32</v>
      </c>
      <c r="C38" s="13" t="s">
        <v>64</v>
      </c>
      <c r="D38" s="14">
        <v>1000</v>
      </c>
      <c r="E38" s="8"/>
    </row>
    <row r="39" spans="1:5" x14ac:dyDescent="0.3">
      <c r="A39" s="12">
        <v>46278</v>
      </c>
      <c r="B39" s="13" t="s">
        <v>40</v>
      </c>
      <c r="C39" s="13" t="s">
        <v>50</v>
      </c>
      <c r="D39" s="14">
        <v>53000</v>
      </c>
      <c r="E39" s="8" t="s">
        <v>65</v>
      </c>
    </row>
    <row r="40" spans="1:5" x14ac:dyDescent="0.3">
      <c r="A40" s="12">
        <v>46280</v>
      </c>
      <c r="B40" s="13" t="s">
        <v>30</v>
      </c>
      <c r="C40" s="13" t="s">
        <v>47</v>
      </c>
      <c r="D40" s="14">
        <v>25300</v>
      </c>
      <c r="E40" s="8" t="s">
        <v>35</v>
      </c>
    </row>
    <row r="41" spans="1:5" x14ac:dyDescent="0.3">
      <c r="A41" s="12">
        <v>46280</v>
      </c>
      <c r="B41" s="13" t="s">
        <v>26</v>
      </c>
      <c r="C41" s="13" t="s">
        <v>69</v>
      </c>
      <c r="D41" s="14">
        <v>300</v>
      </c>
      <c r="E41" s="8" t="s">
        <v>70</v>
      </c>
    </row>
    <row r="42" spans="1:5" x14ac:dyDescent="0.3">
      <c r="A42" s="12">
        <v>46280</v>
      </c>
      <c r="B42" s="13" t="s">
        <v>32</v>
      </c>
      <c r="C42" s="13" t="s">
        <v>71</v>
      </c>
      <c r="D42" s="14">
        <v>800</v>
      </c>
      <c r="E42" s="8" t="s">
        <v>70</v>
      </c>
    </row>
    <row r="43" spans="1:5" x14ac:dyDescent="0.3">
      <c r="A43" s="12">
        <v>46280</v>
      </c>
      <c r="B43" s="13" t="s">
        <v>40</v>
      </c>
      <c r="C43" s="13" t="s">
        <v>72</v>
      </c>
      <c r="D43" s="14">
        <v>10800</v>
      </c>
      <c r="E43" s="8" t="s">
        <v>73</v>
      </c>
    </row>
    <row r="44" spans="1:5" x14ac:dyDescent="0.3">
      <c r="A44" s="12">
        <v>46282</v>
      </c>
      <c r="B44" s="13" t="s">
        <v>30</v>
      </c>
      <c r="C44" s="13" t="s">
        <v>59</v>
      </c>
      <c r="D44" s="14">
        <v>800</v>
      </c>
      <c r="E44" s="8" t="s">
        <v>74</v>
      </c>
    </row>
    <row r="45" spans="1:5" x14ac:dyDescent="0.3">
      <c r="A45" s="12">
        <v>46282</v>
      </c>
      <c r="B45" s="13" t="s">
        <v>30</v>
      </c>
      <c r="C45" s="13" t="s">
        <v>75</v>
      </c>
      <c r="D45" s="14">
        <v>60</v>
      </c>
      <c r="E45" s="8" t="s">
        <v>76</v>
      </c>
    </row>
    <row r="46" spans="1:5" x14ac:dyDescent="0.3">
      <c r="A46" s="9">
        <v>46282</v>
      </c>
      <c r="B46" s="10" t="s">
        <v>40</v>
      </c>
      <c r="C46" s="10" t="s">
        <v>129</v>
      </c>
      <c r="D46" s="11">
        <v>5200</v>
      </c>
      <c r="E46" s="7" t="s">
        <v>130</v>
      </c>
    </row>
    <row r="47" spans="1:5" x14ac:dyDescent="0.3">
      <c r="A47" s="12">
        <v>46282</v>
      </c>
      <c r="B47" s="13" t="s">
        <v>40</v>
      </c>
      <c r="C47" s="13" t="s">
        <v>131</v>
      </c>
      <c r="D47" s="14">
        <v>1000</v>
      </c>
      <c r="E47" s="8" t="s">
        <v>132</v>
      </c>
    </row>
    <row r="48" spans="1:5" x14ac:dyDescent="0.3">
      <c r="A48" s="9">
        <v>46282</v>
      </c>
      <c r="B48" s="10" t="s">
        <v>63</v>
      </c>
      <c r="C48" s="10" t="s">
        <v>133</v>
      </c>
      <c r="D48" s="11">
        <v>500</v>
      </c>
      <c r="E48" s="7"/>
    </row>
    <row r="49" spans="1:5" x14ac:dyDescent="0.3">
      <c r="A49" s="12">
        <v>46285</v>
      </c>
      <c r="B49" s="13" t="s">
        <v>40</v>
      </c>
      <c r="C49" s="13" t="s">
        <v>41</v>
      </c>
      <c r="D49" s="14">
        <v>3380</v>
      </c>
      <c r="E49" s="8" t="s">
        <v>80</v>
      </c>
    </row>
    <row r="50" spans="1:5" x14ac:dyDescent="0.3">
      <c r="A50" s="9">
        <v>46285</v>
      </c>
      <c r="B50" s="10" t="s">
        <v>63</v>
      </c>
      <c r="C50" s="10" t="s">
        <v>41</v>
      </c>
      <c r="D50" s="11">
        <v>800</v>
      </c>
      <c r="E50" s="7"/>
    </row>
    <row r="51" spans="1:5" x14ac:dyDescent="0.3">
      <c r="A51" s="9">
        <v>46285</v>
      </c>
      <c r="B51" s="10" t="s">
        <v>37</v>
      </c>
      <c r="C51" s="10" t="s">
        <v>27</v>
      </c>
      <c r="D51" s="11">
        <v>1000</v>
      </c>
      <c r="E51" s="7" t="s">
        <v>89</v>
      </c>
    </row>
    <row r="52" spans="1:5" x14ac:dyDescent="0.3">
      <c r="A52" s="9">
        <v>46285</v>
      </c>
      <c r="B52" s="10" t="s">
        <v>77</v>
      </c>
      <c r="C52" s="10" t="s">
        <v>78</v>
      </c>
      <c r="D52" s="11">
        <v>110</v>
      </c>
      <c r="E52" s="7" t="s">
        <v>79</v>
      </c>
    </row>
    <row r="53" spans="1:5" x14ac:dyDescent="0.3">
      <c r="A53" s="9">
        <v>46285</v>
      </c>
      <c r="B53" s="10" t="s">
        <v>40</v>
      </c>
      <c r="C53" s="10" t="s">
        <v>41</v>
      </c>
      <c r="D53" s="11">
        <v>3000</v>
      </c>
      <c r="E53" s="7" t="s">
        <v>81</v>
      </c>
    </row>
    <row r="54" spans="1:5" x14ac:dyDescent="0.3">
      <c r="A54" s="12">
        <v>46285</v>
      </c>
      <c r="B54" s="13" t="s">
        <v>63</v>
      </c>
      <c r="C54" s="13" t="s">
        <v>41</v>
      </c>
      <c r="D54" s="14">
        <v>800</v>
      </c>
      <c r="E54" s="8"/>
    </row>
    <row r="55" spans="1:5" x14ac:dyDescent="0.3">
      <c r="A55" s="12">
        <v>46285</v>
      </c>
      <c r="B55" s="13" t="s">
        <v>37</v>
      </c>
      <c r="C55" s="13" t="s">
        <v>38</v>
      </c>
      <c r="D55" s="14">
        <v>15000</v>
      </c>
      <c r="E55" s="7" t="s">
        <v>90</v>
      </c>
    </row>
    <row r="56" spans="1:5" x14ac:dyDescent="0.3">
      <c r="A56" s="12">
        <v>46287</v>
      </c>
      <c r="B56" s="13" t="s">
        <v>40</v>
      </c>
      <c r="C56" s="13" t="s">
        <v>82</v>
      </c>
      <c r="D56" s="14">
        <v>150</v>
      </c>
      <c r="E56" s="8" t="s">
        <v>83</v>
      </c>
    </row>
    <row r="57" spans="1:5" x14ac:dyDescent="0.3">
      <c r="A57" s="9">
        <v>46287</v>
      </c>
      <c r="B57" s="10" t="s">
        <v>56</v>
      </c>
      <c r="C57" s="10" t="s">
        <v>84</v>
      </c>
      <c r="D57" s="11">
        <v>870</v>
      </c>
      <c r="E57" s="7" t="s">
        <v>85</v>
      </c>
    </row>
    <row r="58" spans="1:5" x14ac:dyDescent="0.3">
      <c r="A58" s="9">
        <v>46287</v>
      </c>
      <c r="B58" s="10" t="s">
        <v>56</v>
      </c>
      <c r="C58" s="10" t="s">
        <v>86</v>
      </c>
      <c r="D58" s="11">
        <v>1120</v>
      </c>
      <c r="E58" s="7" t="s">
        <v>87</v>
      </c>
    </row>
    <row r="59" spans="1:5" x14ac:dyDescent="0.3">
      <c r="A59" s="12">
        <v>46287</v>
      </c>
      <c r="B59" s="13" t="s">
        <v>56</v>
      </c>
      <c r="C59" s="13" t="s">
        <v>88</v>
      </c>
      <c r="D59" s="14">
        <v>10</v>
      </c>
      <c r="E59" s="8"/>
    </row>
    <row r="60" spans="1:5" x14ac:dyDescent="0.3">
      <c r="A60" s="12">
        <v>46288</v>
      </c>
      <c r="B60" s="13" t="s">
        <v>37</v>
      </c>
      <c r="C60" s="13" t="s">
        <v>27</v>
      </c>
      <c r="D60" s="14">
        <v>30000</v>
      </c>
      <c r="E60" s="7" t="s">
        <v>91</v>
      </c>
    </row>
    <row r="61" spans="1:5" x14ac:dyDescent="0.3">
      <c r="A61" s="12">
        <v>46288</v>
      </c>
      <c r="B61" s="13" t="s">
        <v>30</v>
      </c>
      <c r="C61" s="13" t="s">
        <v>92</v>
      </c>
      <c r="D61" s="14">
        <v>40</v>
      </c>
      <c r="E61" s="8" t="s">
        <v>93</v>
      </c>
    </row>
    <row r="62" spans="1:5" x14ac:dyDescent="0.3">
      <c r="A62" s="12">
        <v>46289</v>
      </c>
      <c r="B62" s="13" t="s">
        <v>37</v>
      </c>
      <c r="C62" s="13" t="s">
        <v>94</v>
      </c>
      <c r="D62" s="14">
        <v>2000</v>
      </c>
      <c r="E62" s="8" t="s">
        <v>95</v>
      </c>
    </row>
    <row r="63" spans="1:5" x14ac:dyDescent="0.3">
      <c r="A63" s="12">
        <v>46290</v>
      </c>
      <c r="B63" s="13" t="s">
        <v>40</v>
      </c>
      <c r="C63" s="13" t="s">
        <v>96</v>
      </c>
      <c r="D63" s="14">
        <v>10800</v>
      </c>
      <c r="E63" s="8" t="s">
        <v>97</v>
      </c>
    </row>
    <row r="64" spans="1:5" ht="28.8" x14ac:dyDescent="0.3">
      <c r="A64" s="9">
        <v>46290</v>
      </c>
      <c r="B64" s="10" t="s">
        <v>40</v>
      </c>
      <c r="C64" s="10" t="s">
        <v>43</v>
      </c>
      <c r="D64" s="11">
        <v>18050</v>
      </c>
      <c r="E64" s="7" t="s">
        <v>98</v>
      </c>
    </row>
    <row r="65" spans="1:5" x14ac:dyDescent="0.3">
      <c r="A65" s="12">
        <v>46290</v>
      </c>
      <c r="B65" s="13" t="s">
        <v>10</v>
      </c>
      <c r="C65" s="13" t="s">
        <v>10</v>
      </c>
      <c r="D65" s="14">
        <v>10000</v>
      </c>
      <c r="E65" s="8" t="s">
        <v>99</v>
      </c>
    </row>
    <row r="66" spans="1:5" ht="43.2" x14ac:dyDescent="0.3">
      <c r="A66" s="12">
        <v>46291</v>
      </c>
      <c r="B66" s="13" t="s">
        <v>40</v>
      </c>
      <c r="C66" s="13" t="s">
        <v>101</v>
      </c>
      <c r="D66" s="14">
        <v>8500</v>
      </c>
      <c r="E66" s="8" t="s">
        <v>102</v>
      </c>
    </row>
    <row r="67" spans="1:5" x14ac:dyDescent="0.3">
      <c r="A67" s="12">
        <v>46293</v>
      </c>
      <c r="B67" s="13" t="s">
        <v>40</v>
      </c>
      <c r="C67" s="13" t="s">
        <v>96</v>
      </c>
      <c r="D67" s="14">
        <v>1800</v>
      </c>
      <c r="E67" s="8" t="s">
        <v>103</v>
      </c>
    </row>
    <row r="68" spans="1:5" x14ac:dyDescent="0.3">
      <c r="A68" s="9">
        <v>46293</v>
      </c>
      <c r="B68" s="10" t="s">
        <v>37</v>
      </c>
      <c r="C68" s="10" t="s">
        <v>27</v>
      </c>
      <c r="D68" s="11">
        <v>500</v>
      </c>
      <c r="E68" s="7" t="s">
        <v>88</v>
      </c>
    </row>
    <row r="69" spans="1:5" x14ac:dyDescent="0.3">
      <c r="A69" s="12">
        <v>46295</v>
      </c>
      <c r="B69" s="13" t="s">
        <v>40</v>
      </c>
      <c r="C69" s="13" t="s">
        <v>104</v>
      </c>
      <c r="D69" s="14">
        <v>280</v>
      </c>
      <c r="E69" s="8"/>
    </row>
    <row r="70" spans="1:5" x14ac:dyDescent="0.3">
      <c r="A70" s="9">
        <v>46295</v>
      </c>
      <c r="B70" s="10" t="s">
        <v>40</v>
      </c>
      <c r="C70" s="10" t="s">
        <v>105</v>
      </c>
      <c r="D70" s="11">
        <v>350</v>
      </c>
      <c r="E70" s="7" t="s">
        <v>106</v>
      </c>
    </row>
    <row r="71" spans="1:5" x14ac:dyDescent="0.3">
      <c r="A71" s="9">
        <v>46295</v>
      </c>
      <c r="B71" s="10" t="s">
        <v>30</v>
      </c>
      <c r="C71" s="10" t="s">
        <v>107</v>
      </c>
      <c r="D71" s="11">
        <v>700</v>
      </c>
      <c r="E71" s="7" t="s">
        <v>108</v>
      </c>
    </row>
    <row r="73" spans="1:5" x14ac:dyDescent="0.3">
      <c r="A73" s="17" t="s">
        <v>109</v>
      </c>
      <c r="B73" s="17"/>
      <c r="C73" s="18">
        <f>SUM(september_Expenses[Amount])</f>
        <v>601695</v>
      </c>
      <c r="D73" s="19"/>
    </row>
  </sheetData>
  <mergeCells count="2">
    <mergeCell ref="A73:B73"/>
    <mergeCell ref="C73:D7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BC54-A4E8-4132-AA07-6B37435EB60D}">
  <dimension ref="A1:E9"/>
  <sheetViews>
    <sheetView workbookViewId="0">
      <selection activeCell="C29" sqref="C29"/>
    </sheetView>
  </sheetViews>
  <sheetFormatPr defaultRowHeight="14.4" x14ac:dyDescent="0.3"/>
  <cols>
    <col min="1" max="1" width="15.109375" style="5" bestFit="1" customWidth="1"/>
    <col min="2" max="2" width="10.77734375" bestFit="1" customWidth="1"/>
    <col min="3" max="3" width="14.44140625" bestFit="1" customWidth="1"/>
    <col min="4" max="4" width="10.109375" style="4" bestFit="1" customWidth="1"/>
    <col min="5" max="5" width="22.21875" bestFit="1" customWidth="1"/>
  </cols>
  <sheetData>
    <row r="1" spans="1:5" x14ac:dyDescent="0.3">
      <c r="A1" s="5" t="s">
        <v>0</v>
      </c>
      <c r="B1" t="s">
        <v>1</v>
      </c>
      <c r="C1" t="s">
        <v>2</v>
      </c>
      <c r="D1" s="4" t="s">
        <v>3</v>
      </c>
      <c r="E1" t="s">
        <v>4</v>
      </c>
    </row>
    <row r="2" spans="1:5" x14ac:dyDescent="0.3">
      <c r="A2" s="6">
        <v>46296</v>
      </c>
      <c r="B2" s="1" t="s">
        <v>40</v>
      </c>
      <c r="C2" s="1" t="s">
        <v>110</v>
      </c>
      <c r="D2" s="3">
        <v>18000</v>
      </c>
      <c r="E2" s="1" t="s">
        <v>111</v>
      </c>
    </row>
    <row r="3" spans="1:5" x14ac:dyDescent="0.3">
      <c r="A3" s="6">
        <v>46296</v>
      </c>
      <c r="B3" s="1" t="s">
        <v>40</v>
      </c>
      <c r="C3" s="1" t="s">
        <v>45</v>
      </c>
      <c r="D3" s="3">
        <v>1500</v>
      </c>
      <c r="E3" s="1" t="s">
        <v>103</v>
      </c>
    </row>
    <row r="4" spans="1:5" x14ac:dyDescent="0.3">
      <c r="A4" s="6">
        <v>46296</v>
      </c>
      <c r="B4" s="1" t="s">
        <v>40</v>
      </c>
      <c r="C4" s="1" t="s">
        <v>112</v>
      </c>
      <c r="D4" s="3">
        <v>24640</v>
      </c>
      <c r="E4" s="1" t="s">
        <v>113</v>
      </c>
    </row>
    <row r="5" spans="1:5" x14ac:dyDescent="0.3">
      <c r="A5" s="6">
        <v>46296</v>
      </c>
      <c r="B5" s="1" t="s">
        <v>32</v>
      </c>
      <c r="C5" s="1" t="s">
        <v>114</v>
      </c>
      <c r="D5" s="3">
        <v>1000</v>
      </c>
      <c r="E5" s="1" t="s">
        <v>115</v>
      </c>
    </row>
    <row r="6" spans="1:5" x14ac:dyDescent="0.3">
      <c r="A6" s="6">
        <v>46296</v>
      </c>
      <c r="B6" s="1" t="s">
        <v>37</v>
      </c>
      <c r="C6" s="1" t="s">
        <v>27</v>
      </c>
      <c r="D6" s="3">
        <v>30000</v>
      </c>
      <c r="E6" s="1"/>
    </row>
    <row r="7" spans="1:5" x14ac:dyDescent="0.3">
      <c r="A7" s="6">
        <v>46298</v>
      </c>
      <c r="B7" s="1" t="s">
        <v>12</v>
      </c>
      <c r="C7" s="1" t="s">
        <v>116</v>
      </c>
      <c r="D7" s="3">
        <v>3000</v>
      </c>
      <c r="E7" s="1" t="s">
        <v>117</v>
      </c>
    </row>
    <row r="8" spans="1:5" x14ac:dyDescent="0.3">
      <c r="A8" s="6">
        <v>46303</v>
      </c>
      <c r="B8" s="1" t="s">
        <v>126</v>
      </c>
      <c r="C8" s="1" t="s">
        <v>127</v>
      </c>
      <c r="D8" s="3">
        <v>4000</v>
      </c>
      <c r="E8" s="1" t="s">
        <v>70</v>
      </c>
    </row>
    <row r="9" spans="1:5" x14ac:dyDescent="0.3">
      <c r="A9" s="20">
        <v>46303</v>
      </c>
      <c r="B9" s="21" t="s">
        <v>10</v>
      </c>
      <c r="C9" s="21" t="s">
        <v>10</v>
      </c>
      <c r="D9" s="22">
        <v>5000</v>
      </c>
      <c r="E9" s="21" t="s"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September 2026</vt:lpstr>
      <vt:lpstr>October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chary</dc:creator>
  <cp:lastModifiedBy>sharath chary</cp:lastModifiedBy>
  <dcterms:created xsi:type="dcterms:W3CDTF">2026-10-03T14:31:46Z</dcterms:created>
  <dcterms:modified xsi:type="dcterms:W3CDTF">2026-10-11T06:47:59Z</dcterms:modified>
</cp:coreProperties>
</file>